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bc2fefe64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328f95481104785"/>
    <x:sheet xmlns:r="http://schemas.openxmlformats.org/officeDocument/2006/relationships" name="Page Tracking" sheetId="2" r:id="Rb92ef35df3494b44"/>
    <x:sheet xmlns:r="http://schemas.openxmlformats.org/officeDocument/2006/relationships" name="Ownership" sheetId="3" r:id="Rd92f46fe13c941c5"/>
    <x:sheet xmlns:r="http://schemas.openxmlformats.org/officeDocument/2006/relationships" name="Daily Updates" sheetId="4" r:id="R9cd6a9ed1a6a40d2"/>
    <x:sheet xmlns:r="http://schemas.openxmlformats.org/officeDocument/2006/relationships" name="Assets" sheetId="5" r:id="R123b6d16acf34c0d"/>
    <x:sheet xmlns:r="http://schemas.openxmlformats.org/officeDocument/2006/relationships" name="Issues &amp; Blockers" sheetId="6" r:id="Rffc12041904a4e7a"/>
    <x:sheet xmlns:r="http://schemas.openxmlformats.org/officeDocument/2006/relationships" name="Theme References" sheetId="7" r:id="Rfd9542baac8a4fc3"/>
    <x:sheet xmlns:r="http://schemas.openxmlformats.org/officeDocument/2006/relationships" name="Review Checklist" sheetId="8" r:id="R46bc05d1e9aa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86158"/>
      <x:name val="Carlito"/>
    </x:font>
    <x:font>
      <x:b/>
      <x:sz val="11"/>
      <x:color rgb="FFFFFFFF"/>
      <x:name val="Carlito"/>
    </x:font>
    <x:font>
      <x:b/>
      <x:sz val="14"/>
      <x:color rgb="FFD43B32"/>
      <x:name val="Carlito"/>
    </x:font>
    <x:font>
      <x:b/>
      <x:sz val="11"/>
      <x:color rgb="FF0D0C0A"/>
      <x:name val="Carlito"/>
    </x:font>
    <x:font>
      <x:b/>
      <x:sz val="10"/>
      <x:color rgb="FFFFFFFF"/>
      <x:name val="Carlito"/>
    </x:font>
    <x:font>
      <x:sz val="10"/>
      <x:color rgb="FF0D0C0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D0C0A"/>
      </x:patternFill>
    </x:fill>
    <x:fill>
      <x:patternFill patternType="solid">
        <x:fgColor rgb="FFF3EEE4"/>
      </x:patternFill>
    </x:fill>
    <x:fill>
      <x:patternFill patternType="solid">
        <x:fgColor rgb="FFFCF8F0"/>
      </x:patternFill>
    </x:fill>
    <x:fill>
      <x:patternFill patternType="solid">
        <x:fgColor rgb="FFB08A5A"/>
      </x:patternFill>
    </x:fill>
    <x:fill>
      <x:patternFill patternType="solid">
        <x:fgColor rgb="FFD43B32"/>
      </x:patternFill>
    </x:fill>
  </x:fills>
  <x:borders count="5">
    <x:border/>
    <x:border>
      <x:bottom style="thin">
        <x:color rgb="FFD8D0C2"/>
      </x:bottom>
    </x:border>
    <x:border>
      <x:top style="thin">
        <x:color rgb="FFD8D0C2"/>
      </x:top>
      <x:bottom style="thin">
        <x:color rgb="FFD8D0C2"/>
      </x:bottom>
    </x:border>
    <x:border>
      <x:top style="thin">
        <x:color rgb="FFD8D0C2"/>
      </x:top>
    </x:border>
    <x:border>
      <x:bottom style="medium">
        <x:color rgb="FF0D0C0A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top" wrapText="1"/>
    </x:xf>
    <x:xf numFmtId="200" fontId="7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aeb6948b84a49" /><Relationship Type="http://schemas.openxmlformats.org/officeDocument/2006/relationships/theme" Target="/xl/theme/theme1.xml" Id="R6140be619eb94b35" /><Relationship Type="http://schemas.openxmlformats.org/officeDocument/2006/relationships/sharedStrings" Target="/xl/sharedStrings.xml" Id="Rfde196eaee9149b2" /><Relationship Type="http://schemas.openxmlformats.org/officeDocument/2006/relationships/worksheet" Target="/xl/worksheets/sheet1.xml" Id="R3328f95481104785" /><Relationship Type="http://schemas.openxmlformats.org/officeDocument/2006/relationships/worksheet" Target="/xl/worksheets/sheet2.xml" Id="Rb92ef35df3494b44" /><Relationship Type="http://schemas.openxmlformats.org/officeDocument/2006/relationships/worksheet" Target="/xl/worksheets/sheet3.xml" Id="Rd92f46fe13c941c5" /><Relationship Type="http://schemas.openxmlformats.org/officeDocument/2006/relationships/worksheet" Target="/xl/worksheets/sheet4.xml" Id="R9cd6a9ed1a6a40d2" /><Relationship Type="http://schemas.openxmlformats.org/officeDocument/2006/relationships/worksheet" Target="/xl/worksheets/sheet5.xml" Id="R123b6d16acf34c0d" /><Relationship Type="http://schemas.openxmlformats.org/officeDocument/2006/relationships/worksheet" Target="/xl/worksheets/sheet6.xml" Id="Rffc12041904a4e7a" /><Relationship Type="http://schemas.openxmlformats.org/officeDocument/2006/relationships/worksheet" Target="/xl/worksheets/sheet7.xml" Id="Rfd9542baac8a4fc3" /><Relationship Type="http://schemas.openxmlformats.org/officeDocument/2006/relationships/worksheet" Target="/xl/worksheets/sheet8.xml" Id="R46bc05d1e9aa4c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CHUZOSHO WEBSITE TRACKING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Live source of truth for scope, ownership, review, and blockers.</x:v>
      </x:c>
      <x:c r="B2" s="6"/>
      <x:c r="C2" s="6"/>
      <x:c r="D2" s="6"/>
      <x:c r="E2" s="6"/>
      <x:c r="F2" s="6"/>
      <x:c r="G2" s="6"/>
      <x:c r="H2" s="6"/>
    </x:row>
    <x:row r="4">
      <x:c r="A4" s="7" t="str">
        <x:v>Delivery Summary</x:v>
      </x:c>
      <x:c r="B4" s="7" t="str">
        <x:v>Value</x:v>
      </x:c>
      <x:c r="C4" s="7" t="str"/>
      <x:c r="D4" s="7" t="str"/>
      <x:c r="E4" s="7" t="str">
        <x:v>Review Summary</x:v>
      </x:c>
      <x:c r="F4" s="7" t="str">
        <x:v>Value</x:v>
      </x:c>
      <x:c r="G4" s="7" t="str"/>
      <x:c r="H4" s="7" t="str"/>
    </x:row>
    <x:row r="5">
      <x:c r="A5" s="9" t="str">
        <x:v>Tracked items</x:v>
      </x:c>
      <x:c r="B5" s="12" t="n">
        <x:f>COUNTA('Page Tracking'!$A$5:$A$200)</x:f>
        <x:v>16</x:v>
      </x:c>
      <x:c r="E5" s="9" t="str">
        <x:v>Desktop reviewed</x:v>
      </x:c>
      <x:c r="F5" s="12" t="n">
        <x:f>COUNTIF('Page Tracking'!$G$5:$G$200,"Yes")</x:f>
        <x:v>16</x:v>
      </x:c>
    </x:row>
    <x:row r="6">
      <x:c r="A6" s="10" t="str">
        <x:v>Done</x:v>
      </x:c>
      <x:c r="B6" s="13" t="n">
        <x:f>COUNTIF('Page Tracking'!$E$5:$E$200,"Done")</x:f>
        <x:v>8</x:v>
      </x:c>
      <x:c r="E6" s="10" t="str">
        <x:v>Mobile reviewed</x:v>
      </x:c>
      <x:c r="F6" s="13" t="n">
        <x:f>COUNTIF('Page Tracking'!$H$5:$H$200,"Yes")</x:f>
        <x:v>16</x:v>
      </x:c>
    </x:row>
    <x:row r="7">
      <x:c r="A7" s="10" t="str">
        <x:v>In progress</x:v>
      </x:c>
      <x:c r="B7" s="13" t="n">
        <x:f>COUNTIF('Page Tracking'!$E$5:$E$200,"In Progress")</x:f>
        <x:v>8</x:v>
      </x:c>
      <x:c r="E7" s="10" t="str">
        <x:v>Open issues</x:v>
      </x:c>
      <x:c r="F7" s="13" t="n">
        <x:f>COUNTIF('Issues &amp; Blockers'!$F$5:$F$100,"Open")</x:f>
        <x:v>5</x:v>
      </x:c>
    </x:row>
    <x:row r="8">
      <x:c r="A8" s="10" t="str">
        <x:v>Blocked</x:v>
      </x:c>
      <x:c r="B8" s="13" t="n">
        <x:f>COUNTIF('Page Tracking'!$E$5:$E$200,"Blocked")</x:f>
        <x:v>0</x:v>
      </x:c>
      <x:c r="E8" s="10" t="str">
        <x:v>High-priority issues</x:v>
      </x:c>
      <x:c r="F8" s="13" t="n">
        <x:f>COUNTIFS('Issues &amp; Blockers'!$E$5:$E$100,"High",'Issues &amp; Blockers'!$F$5:$F$100,"Open")</x:f>
        <x:v>4</x:v>
      </x:c>
    </x:row>
    <x:row r="9">
      <x:c r="A9" s="11" t="str">
        <x:v>Pending</x:v>
      </x:c>
      <x:c r="B9" s="14" t="n">
        <x:f>COUNTIF('Page Tracking'!$E$5:$E$200,"Pending")</x:f>
        <x:v>0</x:v>
      </x:c>
      <x:c r="E9" s="11" t="str">
        <x:v>Unassigned solution pages</x:v>
      </x:c>
      <x:c r="F9" s="14" t="n">
        <x:f>COUNTIF('Ownership'!$B$12:$B$14,"To be assigned")</x:f>
        <x:v>3</x:v>
      </x:c>
    </x:row>
    <x:row r="12">
      <x:c r="A12" s="16" t="str">
        <x:v>Current decisions</x:v>
      </x:c>
      <x:c r="B12" s="16"/>
      <x:c r="C12" s="16"/>
      <x:c r="D12" s="16"/>
      <x:c r="E12" s="16"/>
      <x:c r="F12" s="16"/>
      <x:c r="G12" s="16"/>
      <x:c r="H12" s="16"/>
    </x:row>
    <x:row r="13">
      <x:c r="A13" s="22" t="str">
        <x:v>Portfolio</x:v>
      </x:c>
      <x:c r="B13" s="23" t="str">
        <x:v>ISLD, IProcure, and IGRC</x:v>
      </x:c>
      <x:c r="C13" s="23" t="str"/>
      <x:c r="D13" s="23" t="str"/>
      <x:c r="E13" s="23" t="str"/>
      <x:c r="F13" s="23" t="str"/>
      <x:c r="G13" s="23" t="str"/>
      <x:c r="H13" s="23" t="str"/>
    </x:row>
    <x:row r="14">
      <x:c r="A14" s="24" t="str">
        <x:v>Solution ownership</x:v>
      </x:c>
      <x:c r="B14" s="25" t="str">
        <x:v>One intern per solution; names pending Evan and Sushil</x:v>
      </x:c>
      <x:c r="C14" s="25" t="str"/>
      <x:c r="D14" s="25" t="str"/>
      <x:c r="E14" s="25" t="str"/>
      <x:c r="F14" s="25" t="str"/>
      <x:c r="G14" s="25" t="str"/>
      <x:c r="H14" s="25" t="str"/>
    </x:row>
    <x:row r="15">
      <x:c r="A15" s="24" t="str">
        <x:v>Contact form</x:v>
      </x:c>
      <x:c r="B15" s="25" t="str">
        <x:v>Production endpoint pending confirmation from Lokesh</x:v>
      </x:c>
      <x:c r="C15" s="25" t="str"/>
      <x:c r="D15" s="25" t="str"/>
      <x:c r="E15" s="25" t="str"/>
      <x:c r="F15" s="25" t="str"/>
      <x:c r="G15" s="25" t="str"/>
      <x:c r="H15" s="25" t="str"/>
    </x:row>
    <x:row r="16">
      <x:c r="A16" s="24" t="str">
        <x:v>Legal</x:v>
      </x:c>
      <x:c r="B16" s="25" t="str">
        <x:v>Adapted from HOSHŌ DIGITAL; internal legal review pending</x:v>
      </x:c>
      <x:c r="C16" s="25" t="str"/>
      <x:c r="D16" s="25" t="str"/>
      <x:c r="E16" s="25" t="str"/>
      <x:c r="F16" s="25" t="str"/>
      <x:c r="G16" s="25" t="str"/>
      <x:c r="H16" s="25" t="str"/>
    </x:row>
    <x:row r="17">
      <x:c r="A17" s="26" t="str">
        <x:v>Daily routine</x:v>
      </x:c>
      <x:c r="B17" s="27" t="str">
        <x:v>Update Page Tracking, Daily Updates, and Issues before handover</x:v>
      </x:c>
      <x:c r="C17" s="27" t="str"/>
      <x:c r="D17" s="27" t="str"/>
      <x:c r="E17" s="27" t="str"/>
      <x:c r="F17" s="27" t="str"/>
      <x:c r="G17" s="27" t="str"/>
      <x:c r="H17" s="27" t="str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4" customHeight="1">
      <x:c r="A1" s="3" t="str">
        <x:v>PAGE AND SECTION TRACKING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Record requested changes and verified defects only. Keep desktop and mobile review separate.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32" t="str">
        <x:v>Page</x:v>
      </x:c>
      <x:c r="B4" s="32" t="str">
        <x:v>Route</x:v>
      </x:c>
      <x:c r="C4" s="32" t="str">
        <x:v>Section</x:v>
      </x:c>
      <x:c r="D4" s="32" t="str">
        <x:v>Requested Change / Requirement</x:v>
      </x:c>
      <x:c r="E4" s="32" t="str">
        <x:v>Status</x:v>
      </x:c>
      <x:c r="F4" s="32" t="str">
        <x:v>Owner</x:v>
      </x:c>
      <x:c r="G4" s="32" t="str">
        <x:v>Desktop Review</x:v>
      </x:c>
      <x:c r="H4" s="32" t="str">
        <x:v>Mobile Review</x:v>
      </x:c>
      <x:c r="I4" s="32" t="str">
        <x:v>Priority</x:v>
      </x:c>
      <x:c r="J4" s="32" t="str">
        <x:v>Notes / Dependency</x:v>
      </x:c>
    </x:row>
    <x:row r="5">
      <x:c r="A5" s="40" t="str">
        <x:v>Shared</x:v>
      </x:c>
      <x:c r="B5" s="40" t="str">
        <x:v>All routes</x:v>
      </x:c>
      <x:c r="C5" s="40" t="str">
        <x:v>Header</x:v>
      </x:c>
      <x:c r="D5" s="40" t="str">
        <x:v>Standard navigation; Contact Us is a normal navigation link</x:v>
      </x:c>
      <x:c r="E5" s="40" t="str">
        <x:v>Done</x:v>
      </x:c>
      <x:c r="F5" s="40" t="str">
        <x:v>Evan William</x:v>
      </x:c>
      <x:c r="G5" s="40" t="str">
        <x:v>Yes</x:v>
      </x:c>
      <x:c r="H5" s="40" t="str">
        <x:v>Yes</x:v>
      </x:c>
      <x:c r="I5" s="40" t="str">
        <x:v>High</x:v>
      </x:c>
      <x:c r="J5" s="40" t="str"/>
    </x:row>
    <x:row r="6">
      <x:c r="A6" s="41" t="str">
        <x:v>Shared</x:v>
      </x:c>
      <x:c r="B6" s="41" t="str">
        <x:v>All routes</x:v>
      </x:c>
      <x:c r="C6" s="41" t="str">
        <x:v>Footer</x:v>
      </x:c>
      <x:c r="D6" s="41" t="str">
        <x:v>Consistent type; no Home link; legal and social links; Chuzosho copyright</x:v>
      </x:c>
      <x:c r="E6" s="41" t="str">
        <x:v>Done</x:v>
      </x:c>
      <x:c r="F6" s="41" t="str">
        <x:v>Evan William</x:v>
      </x:c>
      <x:c r="G6" s="41" t="str">
        <x:v>Yes</x:v>
      </x:c>
      <x:c r="H6" s="41" t="str">
        <x:v>Yes</x:v>
      </x:c>
      <x:c r="I6" s="41" t="str">
        <x:v>High</x:v>
      </x:c>
      <x:c r="J6" s="41" t="str"/>
    </x:row>
    <x:row r="7">
      <x:c r="A7" s="41" t="str">
        <x:v>Home</x:v>
      </x:c>
      <x:c r="B7" s="41" t="str">
        <x:v>/</x:v>
      </x:c>
      <x:c r="C7" s="41" t="str">
        <x:v>Hero</x:v>
      </x:c>
      <x:c r="D7" s="41" t="str">
        <x:v>Full-screen hero with title only</x:v>
      </x:c>
      <x:c r="E7" s="41" t="str">
        <x:v>Done</x:v>
      </x:c>
      <x:c r="F7" s="41" t="str">
        <x:v>Evan William</x:v>
      </x:c>
      <x:c r="G7" s="41" t="str">
        <x:v>Yes</x:v>
      </x:c>
      <x:c r="H7" s="41" t="str">
        <x:v>Yes</x:v>
      </x:c>
      <x:c r="I7" s="41" t="str">
        <x:v>High</x:v>
      </x:c>
      <x:c r="J7" s="41" t="str"/>
    </x:row>
    <x:row r="8">
      <x:c r="A8" s="41" t="str">
        <x:v>Home</x:v>
      </x:c>
      <x:c r="B8" s="41" t="str">
        <x:v>/</x:v>
      </x:c>
      <x:c r="C8" s="41" t="str">
        <x:v>Our Philosophy</x:v>
      </x:c>
      <x:c r="D8" s="41" t="str">
        <x:v>Straighten image alignment and remove decorative numbering</x:v>
      </x:c>
      <x:c r="E8" s="41" t="str">
        <x:v>Done</x:v>
      </x:c>
      <x:c r="F8" s="41" t="str">
        <x:v>Evan William</x:v>
      </x:c>
      <x:c r="G8" s="41" t="str">
        <x:v>Yes</x:v>
      </x:c>
      <x:c r="H8" s="41" t="str">
        <x:v>Yes</x:v>
      </x:c>
      <x:c r="I8" s="41" t="str">
        <x:v>Medium</x:v>
      </x:c>
      <x:c r="J8" s="41" t="str"/>
    </x:row>
    <x:row r="9">
      <x:c r="A9" s="41" t="str">
        <x:v>Foundry</x:v>
      </x:c>
      <x:c r="B9" s="41" t="str">
        <x:v>/about/</x:v>
      </x:c>
      <x:c r="C9" s="41" t="str">
        <x:v>Hero</x:v>
      </x:c>
      <x:c r="D9" s="41" t="str">
        <x:v>Full-screen hero with title only</x:v>
      </x:c>
      <x:c r="E9" s="41" t="str">
        <x:v>Done</x:v>
      </x:c>
      <x:c r="F9" s="41" t="str">
        <x:v>Evan William</x:v>
      </x:c>
      <x:c r="G9" s="41" t="str">
        <x:v>Yes</x:v>
      </x:c>
      <x:c r="H9" s="41" t="str">
        <x:v>Yes</x:v>
      </x:c>
      <x:c r="I9" s="41" t="str">
        <x:v>High</x:v>
      </x:c>
      <x:c r="J9" s="41" t="str"/>
    </x:row>
    <x:row r="10">
      <x:c r="A10" s="41" t="str">
        <x:v>Approach</x:v>
      </x:c>
      <x:c r="B10" s="41" t="str">
        <x:v>/approach/</x:v>
      </x:c>
      <x:c r="C10" s="41" t="str">
        <x:v>Hero and stages</x:v>
      </x:c>
      <x:c r="D10" s="41" t="str">
        <x:v>Full-screen hero; no 01/02/03/04 labels</x:v>
      </x:c>
      <x:c r="E10" s="41" t="str">
        <x:v>Done</x:v>
      </x:c>
      <x:c r="F10" s="41" t="str">
        <x:v>Evan William</x:v>
      </x:c>
      <x:c r="G10" s="41" t="str">
        <x:v>Yes</x:v>
      </x:c>
      <x:c r="H10" s="41" t="str">
        <x:v>Yes</x:v>
      </x:c>
      <x:c r="I10" s="41" t="str">
        <x:v>High</x:v>
      </x:c>
      <x:c r="J10" s="41" t="str"/>
    </x:row>
    <x:row r="11">
      <x:c r="A11" s="41" t="str">
        <x:v>Solutions</x:v>
      </x:c>
      <x:c r="B11" s="41" t="str">
        <x:v>/solutions/</x:v>
      </x:c>
      <x:c r="C11" s="41" t="str">
        <x:v>Portfolio</x:v>
      </x:c>
      <x:c r="D11" s="41" t="str">
        <x:v>Replace previous products with ISLD, IProcure, and IGRC</x:v>
      </x:c>
      <x:c r="E11" s="41" t="str">
        <x:v>Done</x:v>
      </x:c>
      <x:c r="F11" s="41" t="str">
        <x:v>Evan William</x:v>
      </x:c>
      <x:c r="G11" s="41" t="str">
        <x:v>Yes</x:v>
      </x:c>
      <x:c r="H11" s="41" t="str">
        <x:v>Yes</x:v>
      </x:c>
      <x:c r="I11" s="41" t="str">
        <x:v>High</x:v>
      </x:c>
      <x:c r="J11" s="41" t="str"/>
    </x:row>
    <x:row r="12">
      <x:c r="A12" s="41" t="str">
        <x:v>Partnership</x:v>
      </x:c>
      <x:c r="B12" s="41" t="str">
        <x:v>/partnership/</x:v>
      </x:c>
      <x:c r="C12" s="41" t="str">
        <x:v>B2B channels</x:v>
      </x:c>
      <x:c r="D12" s="41" t="str">
        <x:v>Remove Ways to work together eyebrow</x:v>
      </x:c>
      <x:c r="E12" s="41" t="str">
        <x:v>Done</x:v>
      </x:c>
      <x:c r="F12" s="41" t="str">
        <x:v>Evan William</x:v>
      </x:c>
      <x:c r="G12" s="41" t="str">
        <x:v>Yes</x:v>
      </x:c>
      <x:c r="H12" s="41" t="str">
        <x:v>Yes</x:v>
      </x:c>
      <x:c r="I12" s="41" t="str">
        <x:v>Medium</x:v>
      </x:c>
      <x:c r="J12" s="41" t="str"/>
    </x:row>
    <x:row r="13">
      <x:c r="A13" s="41" t="str">
        <x:v>Contact</x:v>
      </x:c>
      <x:c r="B13" s="41" t="str">
        <x:v>/contact/</x:v>
      </x:c>
      <x:c r="C13" s="41" t="str">
        <x:v>Form</x:v>
      </x:c>
      <x:c r="D13" s="41" t="str">
        <x:v>No hero; remove Start a conversation; use Submit; add privacy statement</x:v>
      </x:c>
      <x:c r="E13" s="41" t="str">
        <x:v>In Progress</x:v>
      </x:c>
      <x:c r="F13" s="41" t="str">
        <x:v>Evan William</x:v>
      </x:c>
      <x:c r="G13" s="41" t="str">
        <x:v>Yes</x:v>
      </x:c>
      <x:c r="H13" s="41" t="str">
        <x:v>Yes</x:v>
      </x:c>
      <x:c r="I13" s="41" t="str">
        <x:v>High</x:v>
      </x:c>
      <x:c r="J13" s="41" t="str">
        <x:v>Production endpoint pending</x:v>
      </x:c>
    </x:row>
    <x:row r="14">
      <x:c r="A14" s="41" t="str">
        <x:v>ISLD</x:v>
      </x:c>
      <x:c r="B14" s="41" t="str">
        <x:v>/solutions/isld/</x:v>
      </x:c>
      <x:c r="C14" s="41" t="str">
        <x:v>Full page</x:v>
      </x:c>
      <x:c r="D14" s="41" t="str">
        <x:v>Product page; official expansion and owner approval pending</x:v>
      </x:c>
      <x:c r="E14" s="41" t="str">
        <x:v>In Progress</x:v>
      </x:c>
      <x:c r="F14" s="41" t="str">
        <x:v>To be assigned</x:v>
      </x:c>
      <x:c r="G14" s="41" t="str">
        <x:v>Yes</x:v>
      </x:c>
      <x:c r="H14" s="41" t="str">
        <x:v>Yes</x:v>
      </x:c>
      <x:c r="I14" s="41" t="str">
        <x:v>High</x:v>
      </x:c>
      <x:c r="J14" s="41" t="str">
        <x:v>Confirm official product scope</x:v>
      </x:c>
    </x:row>
    <x:row r="15">
      <x:c r="A15" s="41" t="str">
        <x:v>IProcure</x:v>
      </x:c>
      <x:c r="B15" s="41" t="str">
        <x:v>/solutions/iprocure/</x:v>
      </x:c>
      <x:c r="C15" s="41" t="str">
        <x:v>Full page</x:v>
      </x:c>
      <x:c r="D15" s="41" t="str">
        <x:v>Product page and procurement positioning</x:v>
      </x:c>
      <x:c r="E15" s="41" t="str">
        <x:v>In Progress</x:v>
      </x:c>
      <x:c r="F15" s="41" t="str">
        <x:v>To be assigned</x:v>
      </x:c>
      <x:c r="G15" s="41" t="str">
        <x:v>Yes</x:v>
      </x:c>
      <x:c r="H15" s="41" t="str">
        <x:v>Yes</x:v>
      </x:c>
      <x:c r="I15" s="41" t="str">
        <x:v>High</x:v>
      </x:c>
      <x:c r="J15" s="41" t="str">
        <x:v>Confirm product scope</x:v>
      </x:c>
    </x:row>
    <x:row r="16">
      <x:c r="A16" s="41" t="str">
        <x:v>IGRC</x:v>
      </x:c>
      <x:c r="B16" s="41" t="str">
        <x:v>/solutions/igrc/</x:v>
      </x:c>
      <x:c r="C16" s="41" t="str">
        <x:v>Full page</x:v>
      </x:c>
      <x:c r="D16" s="41" t="str">
        <x:v>Product page and governance positioning</x:v>
      </x:c>
      <x:c r="E16" s="41" t="str">
        <x:v>In Progress</x:v>
      </x:c>
      <x:c r="F16" s="41" t="str">
        <x:v>To be assigned</x:v>
      </x:c>
      <x:c r="G16" s="41" t="str">
        <x:v>Yes</x:v>
      </x:c>
      <x:c r="H16" s="41" t="str">
        <x:v>Yes</x:v>
      </x:c>
      <x:c r="I16" s="41" t="str">
        <x:v>High</x:v>
      </x:c>
      <x:c r="J16" s="41" t="str">
        <x:v>Confirm product scope</x:v>
      </x:c>
    </x:row>
    <x:row r="17">
      <x:c r="A17" s="41" t="str">
        <x:v>Legal</x:v>
      </x:c>
      <x:c r="B17" s="41" t="str">
        <x:v>/privacy-policy/</x:v>
      </x:c>
      <x:c r="C17" s="41" t="str">
        <x:v>Policy</x:v>
      </x:c>
      <x:c r="D17" s="41" t="str">
        <x:v>Adapt HOSHŌ DIGITAL privacy page for Chuzosho</x:v>
      </x:c>
      <x:c r="E17" s="41" t="str">
        <x:v>In Progress</x:v>
      </x:c>
      <x:c r="F17" s="41" t="str">
        <x:v>Evan William</x:v>
      </x:c>
      <x:c r="G17" s="41" t="str">
        <x:v>Yes</x:v>
      </x:c>
      <x:c r="H17" s="41" t="str">
        <x:v>Yes</x:v>
      </x:c>
      <x:c r="I17" s="41" t="str">
        <x:v>Medium</x:v>
      </x:c>
      <x:c r="J17" s="41" t="str">
        <x:v>Internal legal review</x:v>
      </x:c>
    </x:row>
    <x:row r="18">
      <x:c r="A18" s="41" t="str">
        <x:v>Legal</x:v>
      </x:c>
      <x:c r="B18" s="41" t="str">
        <x:v>/accessibility/</x:v>
      </x:c>
      <x:c r="C18" s="41" t="str">
        <x:v>Statement</x:v>
      </x:c>
      <x:c r="D18" s="41" t="str">
        <x:v>Add accessibility statement</x:v>
      </x:c>
      <x:c r="E18" s="41" t="str">
        <x:v>In Progress</x:v>
      </x:c>
      <x:c r="F18" s="41" t="str">
        <x:v>Evan William</x:v>
      </x:c>
      <x:c r="G18" s="41" t="str">
        <x:v>Yes</x:v>
      </x:c>
      <x:c r="H18" s="41" t="str">
        <x:v>Yes</x:v>
      </x:c>
      <x:c r="I18" s="41" t="str">
        <x:v>Medium</x:v>
      </x:c>
      <x:c r="J18" s="41" t="str">
        <x:v>Internal review</x:v>
      </x:c>
    </x:row>
    <x:row r="19">
      <x:c r="A19" s="41" t="str">
        <x:v>Legal</x:v>
      </x:c>
      <x:c r="B19" s="41" t="str">
        <x:v>/terms-of-use/</x:v>
      </x:c>
      <x:c r="C19" s="41" t="str">
        <x:v>Terms</x:v>
      </x:c>
      <x:c r="D19" s="41" t="str">
        <x:v>Adapt HOSHŌ DIGITAL terms for Chuzosho</x:v>
      </x:c>
      <x:c r="E19" s="41" t="str">
        <x:v>In Progress</x:v>
      </x:c>
      <x:c r="F19" s="41" t="str">
        <x:v>Evan William</x:v>
      </x:c>
      <x:c r="G19" s="41" t="str">
        <x:v>Yes</x:v>
      </x:c>
      <x:c r="H19" s="41" t="str">
        <x:v>Yes</x:v>
      </x:c>
      <x:c r="I19" s="41" t="str">
        <x:v>Medium</x:v>
      </x:c>
      <x:c r="J19" s="41" t="str">
        <x:v>Internal legal review</x:v>
      </x:c>
    </x:row>
    <x:row r="20">
      <x:c r="A20" s="42" t="str">
        <x:v>Legal</x:v>
      </x:c>
      <x:c r="B20" s="42" t="str">
        <x:v>/cookies-policy/</x:v>
      </x:c>
      <x:c r="C20" s="42" t="str">
        <x:v>Policy</x:v>
      </x:c>
      <x:c r="D20" s="42" t="str">
        <x:v>Add cookies policy</x:v>
      </x:c>
      <x:c r="E20" s="42" t="str">
        <x:v>In Progress</x:v>
      </x:c>
      <x:c r="F20" s="42" t="str">
        <x:v>Evan William</x:v>
      </x:c>
      <x:c r="G20" s="42" t="str">
        <x:v>Yes</x:v>
      </x:c>
      <x:c r="H20" s="42" t="str">
        <x:v>Yes</x:v>
      </x:c>
      <x:c r="I20" s="42" t="str">
        <x:v>Medium</x:v>
      </x:c>
      <x:c r="J20" s="42" t="str">
        <x:v>Confirm analytics and cookies in production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34" hidden="0" customWidth="1"/>
  </x:cols>
  <x:sheetData>
    <x:row r="1" ht="34" customHeight="1">
      <x:c r="A1" s="3" t="str">
        <x:v>OWNERSHIP</x:v>
      </x:c>
      <x:c r="B1" s="3"/>
      <x:c r="C1" s="3"/>
      <x:c r="D1" s="3"/>
      <x:c r="E1" s="3"/>
      <x:c r="F1" s="3"/>
    </x:row>
    <x:row r="2" ht="24" customHeight="1">
      <x:c r="A2" s="6" t="str">
        <x:v>Assignments remain provisional until Evan William and Sushil Singh confirm them.</x:v>
      </x:c>
      <x:c r="B2" s="6"/>
      <x:c r="C2" s="6"/>
      <x:c r="D2" s="6"/>
      <x:c r="E2" s="6"/>
      <x:c r="F2" s="6"/>
    </x:row>
    <x:row r="4" ht="28" customHeight="1">
      <x:c r="A4" s="32" t="str">
        <x:v>Surface</x:v>
      </x:c>
      <x:c r="B4" s="32" t="str">
        <x:v>Owner</x:v>
      </x:c>
      <x:c r="C4" s="32" t="str">
        <x:v>Reviewer</x:v>
      </x:c>
      <x:c r="D4" s="32" t="str">
        <x:v>Scope</x:v>
      </x:c>
      <x:c r="E4" s="32" t="str">
        <x:v>Status</x:v>
      </x:c>
      <x:c r="F4" s="32" t="str">
        <x:v>Notes</x:v>
      </x:c>
    </x:row>
    <x:row r="5">
      <x:c r="A5" s="40" t="str">
        <x:v>Shared UI</x:v>
      </x:c>
      <x:c r="B5" s="40" t="str">
        <x:v>Evan William</x:v>
      </x:c>
      <x:c r="C5" s="40" t="str">
        <x:v>Sushil Singh</x:v>
      </x:c>
      <x:c r="D5" s="40" t="str">
        <x:v>Header, footer, responsive system</x:v>
      </x:c>
      <x:c r="E5" s="40" t="str">
        <x:v>Active</x:v>
      </x:c>
      <x:c r="F5" s="40" t="str"/>
    </x:row>
    <x:row r="6">
      <x:c r="A6" s="41" t="str">
        <x:v>Home</x:v>
      </x:c>
      <x:c r="B6" s="41" t="str">
        <x:v>Evan William</x:v>
      </x:c>
      <x:c r="C6" s="41" t="str">
        <x:v>Sushil Singh</x:v>
      </x:c>
      <x:c r="D6" s="41" t="str">
        <x:v>Home page</x:v>
      </x:c>
      <x:c r="E6" s="41" t="str">
        <x:v>Active</x:v>
      </x:c>
      <x:c r="F6" s="41" t="str"/>
    </x:row>
    <x:row r="7">
      <x:c r="A7" s="41" t="str">
        <x:v>Foundry</x:v>
      </x:c>
      <x:c r="B7" s="41" t="str">
        <x:v>Evan William</x:v>
      </x:c>
      <x:c r="C7" s="41" t="str">
        <x:v>Sushil Singh</x:v>
      </x:c>
      <x:c r="D7" s="41" t="str">
        <x:v>About / foundry page</x:v>
      </x:c>
      <x:c r="E7" s="41" t="str">
        <x:v>Active</x:v>
      </x:c>
      <x:c r="F7" s="41" t="str"/>
    </x:row>
    <x:row r="8">
      <x:c r="A8" s="41" t="str">
        <x:v>Approach</x:v>
      </x:c>
      <x:c r="B8" s="41" t="str">
        <x:v>Evan William</x:v>
      </x:c>
      <x:c r="C8" s="41" t="str">
        <x:v>Sushil Singh</x:v>
      </x:c>
      <x:c r="D8" s="41" t="str">
        <x:v>Approach page</x:v>
      </x:c>
      <x:c r="E8" s="41" t="str">
        <x:v>Active</x:v>
      </x:c>
      <x:c r="F8" s="41" t="str"/>
    </x:row>
    <x:row r="9">
      <x:c r="A9" s="41" t="str">
        <x:v>Solutions</x:v>
      </x:c>
      <x:c r="B9" s="41" t="str">
        <x:v>Evan William</x:v>
      </x:c>
      <x:c r="C9" s="41" t="str">
        <x:v>Sushil Singh</x:v>
      </x:c>
      <x:c r="D9" s="41" t="str">
        <x:v>Solutions landing</x:v>
      </x:c>
      <x:c r="E9" s="41" t="str">
        <x:v>Active</x:v>
      </x:c>
      <x:c r="F9" s="41" t="str"/>
    </x:row>
    <x:row r="10">
      <x:c r="A10" s="41" t="str">
        <x:v>Partnership</x:v>
      </x:c>
      <x:c r="B10" s="41" t="str">
        <x:v>Evan William</x:v>
      </x:c>
      <x:c r="C10" s="41" t="str">
        <x:v>Sushil Singh</x:v>
      </x:c>
      <x:c r="D10" s="41" t="str">
        <x:v>Partner page</x:v>
      </x:c>
      <x:c r="E10" s="41" t="str">
        <x:v>Active</x:v>
      </x:c>
      <x:c r="F10" s="41" t="str"/>
    </x:row>
    <x:row r="11">
      <x:c r="A11" s="41" t="str">
        <x:v>Contact</x:v>
      </x:c>
      <x:c r="B11" s="41" t="str">
        <x:v>Evan William</x:v>
      </x:c>
      <x:c r="C11" s="41" t="str">
        <x:v>Sushil Singh / Lokesh Meena</x:v>
      </x:c>
      <x:c r="D11" s="41" t="str">
        <x:v>Design and endpoint integration</x:v>
      </x:c>
      <x:c r="E11" s="41" t="str">
        <x:v>Endpoint pending</x:v>
      </x:c>
      <x:c r="F11" s="41" t="str"/>
    </x:row>
    <x:row r="12">
      <x:c r="A12" s="41" t="str">
        <x:v>ISLD</x:v>
      </x:c>
      <x:c r="B12" s="41" t="str">
        <x:v>To be assigned</x:v>
      </x:c>
      <x:c r="C12" s="41" t="str">
        <x:v>Product owner</x:v>
      </x:c>
      <x:c r="D12" s="41" t="str">
        <x:v>One intern per solution</x:v>
      </x:c>
      <x:c r="E12" s="41" t="str">
        <x:v>Pending assignment</x:v>
      </x:c>
      <x:c r="F12" s="41" t="str">
        <x:v>Do not guess acronym expansion</x:v>
      </x:c>
    </x:row>
    <x:row r="13">
      <x:c r="A13" s="41" t="str">
        <x:v>IProcure</x:v>
      </x:c>
      <x:c r="B13" s="41" t="str">
        <x:v>To be assigned</x:v>
      </x:c>
      <x:c r="C13" s="41" t="str">
        <x:v>Product owner</x:v>
      </x:c>
      <x:c r="D13" s="41" t="str">
        <x:v>One intern per solution</x:v>
      </x:c>
      <x:c r="E13" s="41" t="str">
        <x:v>Pending assignment</x:v>
      </x:c>
      <x:c r="F13" s="41" t="str"/>
    </x:row>
    <x:row r="14">
      <x:c r="A14" s="41" t="str">
        <x:v>IGRC</x:v>
      </x:c>
      <x:c r="B14" s="41" t="str">
        <x:v>To be assigned</x:v>
      </x:c>
      <x:c r="C14" s="41" t="str">
        <x:v>Product owner</x:v>
      </x:c>
      <x:c r="D14" s="41" t="str">
        <x:v>One intern per solution</x:v>
      </x:c>
      <x:c r="E14" s="41" t="str">
        <x:v>Pending assignment</x:v>
      </x:c>
      <x:c r="F14" s="41" t="str"/>
    </x:row>
    <x:row r="15">
      <x:c r="A15" s="42" t="str">
        <x:v>Legal</x:v>
      </x:c>
      <x:c r="B15" s="42" t="str">
        <x:v>Evan William</x:v>
      </x:c>
      <x:c r="C15" s="42" t="str">
        <x:v>Internal legal review</x:v>
      </x:c>
      <x:c r="D15" s="42" t="str">
        <x:v>Privacy, accessibility, terms, cookies</x:v>
      </x:c>
      <x:c r="E15" s="42" t="str">
        <x:v>Draft</x:v>
      </x:c>
      <x:c r="F15" s="42" t="str">
        <x:v>Adapted from HOSHŌ DIGITAL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28" hidden="0" customWidth="1"/>
  </x:cols>
  <x:sheetData>
    <x:row r="1" ht="34" customHeight="1">
      <x:c r="A1" s="3" t="str">
        <x:v>DAILY UPDATES</x:v>
      </x:c>
      <x:c r="B1" s="3"/>
      <x:c r="C1" s="3"/>
      <x:c r="D1" s="3"/>
      <x:c r="E1" s="3"/>
      <x:c r="F1" s="3"/>
      <x:c r="G1" s="3"/>
    </x:row>
    <x:row r="2" ht="24" customHeight="1">
      <x:c r="A2" s="6" t="str">
        <x:v>Add one concise row for every working day and handover.</x:v>
      </x:c>
      <x:c r="B2" s="6"/>
      <x:c r="C2" s="6"/>
      <x:c r="D2" s="6"/>
      <x:c r="E2" s="6"/>
      <x:c r="F2" s="6"/>
      <x:c r="G2" s="6"/>
    </x:row>
    <x:row r="4" ht="28" customHeight="1">
      <x:c r="A4" s="32" t="str">
        <x:v>Date</x:v>
      </x:c>
      <x:c r="B4" s="32" t="str">
        <x:v>Owner</x:v>
      </x:c>
      <x:c r="C4" s="32" t="str">
        <x:v>Completed</x:v>
      </x:c>
      <x:c r="D4" s="32" t="str">
        <x:v>Decision</x:v>
      </x:c>
      <x:c r="E4" s="32" t="str">
        <x:v>Blocker</x:v>
      </x:c>
      <x:c r="F4" s="32" t="str">
        <x:v>Next Action</x:v>
      </x:c>
      <x:c r="G4" s="32" t="str">
        <x:v>Review Link / Commit</x:v>
      </x:c>
    </x:row>
    <x:row r="5" ht="56" customHeight="1">
      <x:c r="A5" s="45" t="n">
        <x:v>46265</x:v>
      </x:c>
      <x:c r="B5" s="44" t="str">
        <x:v>Evan William</x:v>
      </x:c>
      <x:c r="C5" s="44" t="str">
        <x:v>Rebuilt shared system, tracking, portfolio routes, legal pages, and responsive layouts</x:v>
      </x:c>
      <x:c r="D5" s="44" t="str">
        <x:v>Portfolio is ISLD, IProcure, and IGRC</x:v>
      </x:c>
      <x:c r="E5" s="44" t="str">
        <x:v>Form endpoint and solution-owner assignment pending</x:v>
      </x:c>
      <x:c r="F5" s="44" t="str">
        <x:v>Confirm integration with Lokesh; confirm owners with Sushil</x:v>
      </x:c>
      <x:c r="G5" s="4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4" hidden="0" customWidth="1"/>
    <x:col min="4" max="4" width="18" hidden="0" customWidth="1"/>
    <x:col min="5" max="5" width="5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ASSET TRACKING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Every production visual must have a source path, alt text, and review status.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32" t="str">
        <x:v>Page</x:v>
      </x:c>
      <x:c r="B4" s="32" t="str">
        <x:v>Asset</x:v>
      </x:c>
      <x:c r="C4" s="32" t="str">
        <x:v>File</x:v>
      </x:c>
      <x:c r="D4" s="32" t="str">
        <x:v>Purpose</x:v>
      </x:c>
      <x:c r="E4" s="32" t="str">
        <x:v>Alt Text</x:v>
      </x:c>
      <x:c r="F4" s="32" t="str">
        <x:v>Optimised</x:v>
      </x:c>
      <x:c r="G4" s="32" t="str">
        <x:v>Mobile Crop</x:v>
      </x:c>
      <x:c r="H4" s="32" t="str">
        <x:v>Owner</x:v>
      </x:c>
    </x:row>
    <x:row r="5">
      <x:c r="A5" s="40" t="str">
        <x:v>Home</x:v>
      </x:c>
      <x:c r="B5" s="40" t="str">
        <x:v>Foundry hero</x:v>
      </x:c>
      <x:c r="C5" s="40" t="str">
        <x:v>assets/images/chuzosho-foundry-hero-v1.webp</x:v>
      </x:c>
      <x:c r="D5" s="40" t="str">
        <x:v>Hero</x:v>
      </x:c>
      <x:c r="E5" s="40" t="str">
        <x:v>Technical product foundry transforming raw inputs into finished systems</x:v>
      </x:c>
      <x:c r="F5" s="40" t="str">
        <x:v>Yes</x:v>
      </x:c>
      <x:c r="G5" s="40" t="str">
        <x:v>Yes</x:v>
      </x:c>
      <x:c r="H5" s="40" t="str">
        <x:v>Evan William</x:v>
      </x:c>
    </x:row>
    <x:row r="6">
      <x:c r="A6" s="41" t="str">
        <x:v>Foundry</x:v>
      </x:c>
      <x:c r="B6" s="41" t="str">
        <x:v>Press hero</x:v>
      </x:c>
      <x:c r="C6" s="41" t="str">
        <x:v>assets/images/memory-press-original-v1.webp</x:v>
      </x:c>
      <x:c r="D6" s="41" t="str">
        <x:v>Hero</x:v>
      </x:c>
      <x:c r="E6" s="41" t="str">
        <x:v>Industrial press forming solution material into a product module</x:v>
      </x:c>
      <x:c r="F6" s="41" t="str">
        <x:v>Yes</x:v>
      </x:c>
      <x:c r="G6" s="41" t="str">
        <x:v>Yes</x:v>
      </x:c>
      <x:c r="H6" s="41" t="str">
        <x:v>Evan William</x:v>
      </x:c>
    </x:row>
    <x:row r="7">
      <x:c r="A7" s="41" t="str">
        <x:v>Approach</x:v>
      </x:c>
      <x:c r="B7" s="41" t="str">
        <x:v>Inspection hero</x:v>
      </x:c>
      <x:c r="C7" s="41" t="str">
        <x:v>assets/images/checked-actions-original-v1.webp</x:v>
      </x:c>
      <x:c r="D7" s="41" t="str">
        <x:v>Hero</x:v>
      </x:c>
      <x:c r="E7" s="41" t="str">
        <x:v>Controlled inspection line checking proposed actions</x:v>
      </x:c>
      <x:c r="F7" s="41" t="str">
        <x:v>Yes</x:v>
      </x:c>
      <x:c r="G7" s="41" t="str">
        <x:v>Yes</x:v>
      </x:c>
      <x:c r="H7" s="41" t="str">
        <x:v>Evan William</x:v>
      </x:c>
    </x:row>
    <x:row r="8">
      <x:c r="A8" s="41" t="str">
        <x:v>Solutions</x:v>
      </x:c>
      <x:c r="B8" s="41" t="str">
        <x:v>Portfolio hero</x:v>
      </x:c>
      <x:c r="C8" s="41" t="str">
        <x:v>assets/images/program-proofs-original-v1.webp</x:v>
      </x:c>
      <x:c r="D8" s="41" t="str">
        <x:v>Hero</x:v>
      </x:c>
      <x:c r="E8" s="41" t="str">
        <x:v>Three precision instruments representing the Chuzosho product portfolio</x:v>
      </x:c>
      <x:c r="F8" s="41" t="str">
        <x:v>Yes</x:v>
      </x:c>
      <x:c r="G8" s="41" t="str">
        <x:v>Yes</x:v>
      </x:c>
      <x:c r="H8" s="41" t="str">
        <x:v>Evan William</x:v>
      </x:c>
    </x:row>
    <x:row r="9">
      <x:c r="A9" s="41" t="str">
        <x:v>Partnership</x:v>
      </x:c>
      <x:c r="B9" s="41" t="str">
        <x:v>Market gates hero</x:v>
      </x:c>
      <x:c r="C9" s="41" t="str">
        <x:v>assets/images/promotion-gates-original-v1.webp</x:v>
      </x:c>
      <x:c r="D9" s="41" t="str">
        <x:v>Hero</x:v>
      </x:c>
      <x:c r="E9" s="41" t="str">
        <x:v>A finished product moving through market-readiness gates</x:v>
      </x:c>
      <x:c r="F9" s="41" t="str">
        <x:v>Yes</x:v>
      </x:c>
      <x:c r="G9" s="41" t="str">
        <x:v>Yes</x:v>
      </x:c>
      <x:c r="H9" s="41" t="str">
        <x:v>Evan William</x:v>
      </x:c>
    </x:row>
    <x:row r="10">
      <x:c r="A10" s="42" t="str">
        <x:v>Contact</x:v>
      </x:c>
      <x:c r="B10" s="42" t="str">
        <x:v>Foundry background</x:v>
      </x:c>
      <x:c r="C10" s="42" t="str">
        <x:v>assets/images/subscription-stack-original-v1.webp</x:v>
      </x:c>
      <x:c r="D10" s="42" t="str">
        <x:v>Background</x:v>
      </x:c>
      <x:c r="E10" s="42" t="str"/>
      <x:c r="F10" s="42" t="str">
        <x:v>Yes</x:v>
      </x:c>
      <x:c r="G10" s="42" t="str">
        <x:v>Yes</x:v>
      </x:c>
      <x:c r="H10" s="42" t="str">
        <x:v>Evan William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8" hidden="0" customWidth="1"/>
    <x:col min="4" max="4" width="26" hidden="0" customWidth="1"/>
    <x:col min="5" max="5" width="14" hidden="0" customWidth="1"/>
    <x:col min="6" max="6" width="14" hidden="0" customWidth="1"/>
    <x:col min="7" max="7" width="32" hidden="0" customWidth="1"/>
    <x:col min="8" max="8" width="32" hidden="0" customWidth="1"/>
  </x:cols>
  <x:sheetData>
    <x:row r="1" ht="34" customHeight="1">
      <x:c r="A1" s="3" t="str">
        <x:v>ISSUES AND BLOCKERS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Record unresolved dependencies instead of inventing content or integrations.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32" t="str">
        <x:v>ID</x:v>
      </x:c>
      <x:c r="B4" s="32" t="str">
        <x:v>Area</x:v>
      </x:c>
      <x:c r="C4" s="32" t="str">
        <x:v>Issue / Dependency</x:v>
      </x:c>
      <x:c r="D4" s="32" t="str">
        <x:v>Owner</x:v>
      </x:c>
      <x:c r="E4" s="32" t="str">
        <x:v>Priority</x:v>
      </x:c>
      <x:c r="F4" s="32" t="str">
        <x:v>Status</x:v>
      </x:c>
      <x:c r="G4" s="32" t="str">
        <x:v>Target</x:v>
      </x:c>
      <x:c r="H4" s="32" t="str">
        <x:v>Resolution Notes</x:v>
      </x:c>
    </x:row>
    <x:row r="5">
      <x:c r="A5" s="40" t="str">
        <x:v>CHU-001</x:v>
      </x:c>
      <x:c r="B5" s="40" t="str">
        <x:v>Contact</x:v>
      </x:c>
      <x:c r="C5" s="40" t="str">
        <x:v>Production form endpoint, recipient, and data-handling flow need confirmation</x:v>
      </x:c>
      <x:c r="D5" s="40" t="str">
        <x:v>Lokesh Meena</x:v>
      </x:c>
      <x:c r="E5" s="40" t="str">
        <x:v>High</x:v>
      </x:c>
      <x:c r="F5" s="40" t="str">
        <x:v>Open</x:v>
      </x:c>
      <x:c r="G5" s="40" t="str">
        <x:v>Before live collection</x:v>
      </x:c>
      <x:c r="H5" s="40" t="str">
        <x:v>Front-end remains non-submitting until confirmed</x:v>
      </x:c>
    </x:row>
    <x:row r="6">
      <x:c r="A6" s="41" t="str">
        <x:v>CHU-002</x:v>
      </x:c>
      <x:c r="B6" s="41" t="str">
        <x:v>Solutions</x:v>
      </x:c>
      <x:c r="C6" s="41" t="str">
        <x:v>Assign one intern each to ISLD, IProcure, and IGRC</x:v>
      </x:c>
      <x:c r="D6" s="41" t="str">
        <x:v>Evan William / Sushil Singh</x:v>
      </x:c>
      <x:c r="E6" s="41" t="str">
        <x:v>High</x:v>
      </x:c>
      <x:c r="F6" s="41" t="str">
        <x:v>Open</x:v>
      </x:c>
      <x:c r="G6" s="41" t="str">
        <x:v>Next team allocation</x:v>
      </x:c>
      <x:c r="H6" s="41" t="str"/>
    </x:row>
    <x:row r="7">
      <x:c r="A7" s="41" t="str">
        <x:v>CHU-003</x:v>
      </x:c>
      <x:c r="B7" s="41" t="str">
        <x:v>ISLD</x:v>
      </x:c>
      <x:c r="C7" s="41" t="str">
        <x:v>Confirm official acronym expansion and approved product copy</x:v>
      </x:c>
      <x:c r="D7" s="41" t="str">
        <x:v>Product owner</x:v>
      </x:c>
      <x:c r="E7" s="41" t="str">
        <x:v>High</x:v>
      </x:c>
      <x:c r="F7" s="41" t="str">
        <x:v>Open</x:v>
      </x:c>
      <x:c r="G7" s="41" t="str">
        <x:v>Before campaign use</x:v>
      </x:c>
      <x:c r="H7" s="41" t="str">
        <x:v>Page avoids unapproved expansion</x:v>
      </x:c>
    </x:row>
    <x:row r="8">
      <x:c r="A8" s="41" t="str">
        <x:v>CHU-004</x:v>
      </x:c>
      <x:c r="B8" s="41" t="str">
        <x:v>Legal</x:v>
      </x:c>
      <x:c r="C8" s="41" t="str">
        <x:v>Internal legal and privacy review required</x:v>
      </x:c>
      <x:c r="D8" s="41" t="str">
        <x:v>Internal reviewer</x:v>
      </x:c>
      <x:c r="E8" s="41" t="str">
        <x:v>High</x:v>
      </x:c>
      <x:c r="F8" s="41" t="str">
        <x:v>Open</x:v>
      </x:c>
      <x:c r="G8" s="41" t="str">
        <x:v>Before policy sign-off</x:v>
      </x:c>
      <x:c r="H8" s="41" t="str">
        <x:v>Draft adapted from HOSHŌ DIGITAL</x:v>
      </x:c>
    </x:row>
    <x:row r="9">
      <x:c r="A9" s="42" t="str">
        <x:v>CHU-005</x:v>
      </x:c>
      <x:c r="B9" s="42" t="str">
        <x:v>Deployment</x:v>
      </x:c>
      <x:c r="C9" s="42" t="str">
        <x:v>Confirm production operational ownership and monitoring with Lokesh</x:v>
      </x:c>
      <x:c r="D9" s="42" t="str">
        <x:v>Lokesh Meena</x:v>
      </x:c>
      <x:c r="E9" s="42" t="str">
        <x:v>Medium</x:v>
      </x:c>
      <x:c r="F9" s="42" t="str">
        <x:v>Open</x:v>
      </x:c>
      <x:c r="G9" s="42" t="str">
        <x:v>Post-deploy</x:v>
      </x:c>
      <x:c r="H9" s="4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34" customHeight="1">
      <x:c r="A1" s="3" t="str">
        <x:v>THEME REFERENCES</x:v>
      </x:c>
      <x:c r="B1" s="3"/>
      <x:c r="C1" s="3"/>
      <x:c r="D1" s="3"/>
      <x:c r="E1" s="3"/>
      <x:c r="F1" s="3"/>
    </x:row>
    <x:row r="2" ht="24" customHeight="1">
      <x:c r="A2" s="6" t="str">
        <x:v>Approved visual system and reusable implementation constraints.</x:v>
      </x:c>
      <x:c r="B2" s="6"/>
      <x:c r="C2" s="6"/>
      <x:c r="D2" s="6"/>
      <x:c r="E2" s="6"/>
      <x:c r="F2" s="6"/>
    </x:row>
    <x:row r="4" ht="28" customHeight="1">
      <x:c r="A4" s="32" t="str">
        <x:v>Category</x:v>
      </x:c>
      <x:c r="B4" s="32" t="str">
        <x:v>Token / Rule</x:v>
      </x:c>
      <x:c r="C4" s="32" t="str">
        <x:v>Value</x:v>
      </x:c>
      <x:c r="D4" s="32" t="str">
        <x:v>Use</x:v>
      </x:c>
      <x:c r="E4" s="32" t="str">
        <x:v>Do</x:v>
      </x:c>
      <x:c r="F4" s="32" t="str">
        <x:v>Do Not</x:v>
      </x:c>
    </x:row>
    <x:row r="5">
      <x:c r="A5" s="40" t="str">
        <x:v>Colour</x:v>
      </x:c>
      <x:c r="B5" s="40" t="str">
        <x:v>Foundry black</x:v>
      </x:c>
      <x:c r="C5" s="40" t="str">
        <x:v>#0D0C0A</x:v>
      </x:c>
      <x:c r="D5" s="40" t="str">
        <x:v>Dark surfaces and footer</x:v>
      </x:c>
      <x:c r="E5" s="40" t="str">
        <x:v>Use for deliberate contrast</x:v>
      </x:c>
      <x:c r="F5" s="40" t="str">
        <x:v>Use pure black everywhere</x:v>
      </x:c>
    </x:row>
    <x:row r="6">
      <x:c r="A6" s="41" t="str">
        <x:v>Colour</x:v>
      </x:c>
      <x:c r="B6" s="41" t="str">
        <x:v>Warm paper</x:v>
      </x:c>
      <x:c r="C6" s="41" t="str">
        <x:v>#F3EEE4</x:v>
      </x:c>
      <x:c r="D6" s="41" t="str">
        <x:v>Primary light surface</x:v>
      </x:c>
      <x:c r="E6" s="41" t="str">
        <x:v>Keep warm-neutral pairing</x:v>
      </x:c>
      <x:c r="F6" s="41" t="str">
        <x:v>Mix with cool gray defaults</x:v>
      </x:c>
    </x:row>
    <x:row r="7">
      <x:c r="A7" s="41" t="str">
        <x:v>Colour</x:v>
      </x:c>
      <x:c r="B7" s="41" t="str">
        <x:v>Signal red</x:v>
      </x:c>
      <x:c r="C7" s="41" t="str">
        <x:v>#D43B32</x:v>
      </x:c>
      <x:c r="D7" s="41" t="str">
        <x:v>Focus, primary CTA, small accents</x:v>
      </x:c>
      <x:c r="E7" s="41" t="str">
        <x:v>Use once as primary action</x:v>
      </x:c>
      <x:c r="F7" s="41" t="str">
        <x:v>Turn navigation CTA into a red block</x:v>
      </x:c>
    </x:row>
    <x:row r="8">
      <x:c r="A8" s="41" t="str">
        <x:v>Type</x:v>
      </x:c>
      <x:c r="B8" s="41" t="str">
        <x:v>Primary</x:v>
      </x:c>
      <x:c r="C8" s="41" t="str">
        <x:v>Inter / Helvetica Neue / Arial</x:v>
      </x:c>
      <x:c r="D8" s="41" t="str">
        <x:v>Headings and body</x:v>
      </x:c>
      <x:c r="E8" s="41" t="str">
        <x:v>Keep consistent across pages</x:v>
      </x:c>
      <x:c r="F8" s="41" t="str">
        <x:v>Use decorative footer fonts</x:v>
      </x:c>
    </x:row>
    <x:row r="9">
      <x:c r="A9" s="41" t="str">
        <x:v>Type</x:v>
      </x:c>
      <x:c r="B9" s="41" t="str">
        <x:v>Technical</x:v>
      </x:c>
      <x:c r="C9" s="41" t="str">
        <x:v>IBM Plex Mono / Courier New</x:v>
      </x:c>
      <x:c r="D9" s="41" t="str">
        <x:v>Eyebrows and compact labels</x:v>
      </x:c>
      <x:c r="E9" s="41" t="str">
        <x:v>Use sparingly</x:v>
      </x:c>
      <x:c r="F9" s="41" t="str">
        <x:v>Use decorative 01/02/03/04 numbers</x:v>
      </x:c>
    </x:row>
    <x:row r="10">
      <x:c r="A10" s="41" t="str">
        <x:v>Hero</x:v>
      </x:c>
      <x:c r="B10" s="41" t="str">
        <x:v>Marketing pages</x:v>
      </x:c>
      <x:c r="C10" s="41" t="str">
        <x:v>100dvh</x:v>
      </x:c>
      <x:c r="D10" s="41" t="str">
        <x:v>Home, Foundry, Approach, Solutions, Partnership, product pages</x:v>
      </x:c>
      <x:c r="E10" s="41" t="str">
        <x:v>Title only</x:v>
      </x:c>
      <x:c r="F10" s="41" t="str">
        <x:v>Add short descriptions inside hero</x:v>
      </x:c>
    </x:row>
    <x:row r="11">
      <x:c r="A11" s="41" t="str">
        <x:v>Contact</x:v>
      </x:c>
      <x:c r="B11" s="41" t="str">
        <x:v>Opening layout</x:v>
      </x:c>
      <x:c r="C11" s="41" t="str">
        <x:v>No hero</x:v>
      </x:c>
      <x:c r="D11" s="41" t="str">
        <x:v>Direct form experience</x:v>
      </x:c>
      <x:c r="E11" s="41" t="str">
        <x:v>Use transparent dark form treatment</x:v>
      </x:c>
      <x:c r="F11" s="41" t="str">
        <x:v>Add Start a conversation eyebrow</x:v>
      </x:c>
    </x:row>
    <x:row r="12">
      <x:c r="A12" s="41" t="str">
        <x:v>Responsive</x:v>
      </x:c>
      <x:c r="B12" s="41" t="str">
        <x:v>Mobile</x:v>
      </x:c>
      <x:c r="C12" s="41" t="str">
        <x:v>Single-column</x:v>
      </x:c>
      <x:c r="D12" s="41" t="str">
        <x:v>All complex sections</x:v>
      </x:c>
      <x:c r="E12" s="41" t="str">
        <x:v>Preserve 16px body copy</x:v>
      </x:c>
      <x:c r="F12" s="41" t="str">
        <x:v>Shrink desktop grids</x:v>
      </x:c>
    </x:row>
    <x:row r="13">
      <x:c r="A13" s="42" t="str">
        <x:v>Images</x:v>
      </x:c>
      <x:c r="B13" s="42" t="str">
        <x:v>Alignment</x:v>
      </x:c>
      <x:c r="C13" s="42" t="str">
        <x:v>Grid aligned</x:v>
      </x:c>
      <x:c r="D13" s="42" t="str">
        <x:v>Editorial and philosophy sections</x:v>
      </x:c>
      <x:c r="E13" s="42" t="str">
        <x:v>Keep media level and cropped intentionally</x:v>
      </x:c>
      <x:c r="F13" s="42" t="str">
        <x:v>Tilt or float media accidentally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16" hidden="0" customWidth="1"/>
    <x:col min="7" max="7" width="34" hidden="0" customWidth="1"/>
  </x:cols>
  <x:sheetData>
    <x:row r="1" ht="34" customHeight="1">
      <x:c r="A1" s="3" t="str">
        <x:v>REVIEW CHECKLIST</x:v>
      </x:c>
      <x:c r="B1" s="3"/>
      <x:c r="C1" s="3"/>
      <x:c r="D1" s="3"/>
      <x:c r="E1" s="3"/>
      <x:c r="F1" s="3"/>
      <x:c r="G1" s="3"/>
    </x:row>
    <x:row r="2" ht="24" customHeight="1">
      <x:c r="A2" s="6" t="str">
        <x:v>Use for release review on desktop and mobile before deployment.</x:v>
      </x:c>
      <x:c r="B2" s="6"/>
      <x:c r="C2" s="6"/>
      <x:c r="D2" s="6"/>
      <x:c r="E2" s="6"/>
      <x:c r="F2" s="6"/>
      <x:c r="G2" s="6"/>
    </x:row>
    <x:row r="4" ht="28" customHeight="1">
      <x:c r="A4" s="32" t="str">
        <x:v>Area</x:v>
      </x:c>
      <x:c r="B4" s="32" t="str">
        <x:v>Check</x:v>
      </x:c>
      <x:c r="C4" s="32" t="str">
        <x:v>Desktop</x:v>
      </x:c>
      <x:c r="D4" s="32" t="str">
        <x:v>Mobile</x:v>
      </x:c>
      <x:c r="E4" s="32" t="str">
        <x:v>Owner</x:v>
      </x:c>
      <x:c r="F4" s="32" t="str">
        <x:v>Status</x:v>
      </x:c>
      <x:c r="G4" s="32" t="str">
        <x:v>Notes</x:v>
      </x:c>
    </x:row>
    <x:row r="5">
      <x:c r="A5" s="40" t="str">
        <x:v>Navigation</x:v>
      </x:c>
      <x:c r="B5" s="40" t="str">
        <x:v>All routes resolve; active state correct; mobile menu usable</x:v>
      </x:c>
      <x:c r="C5" s="40" t="str">
        <x:v>Yes</x:v>
      </x:c>
      <x:c r="D5" s="40" t="str">
        <x:v>Yes</x:v>
      </x:c>
      <x:c r="E5" s="40" t="str">
        <x:v>Evan William</x:v>
      </x:c>
      <x:c r="F5" s="40" t="str">
        <x:v>Done</x:v>
      </x:c>
      <x:c r="G5" s="40" t="str"/>
    </x:row>
    <x:row r="6">
      <x:c r="A6" s="41" t="str">
        <x:v>Heroes</x:v>
      </x:c>
      <x:c r="B6" s="41" t="str">
        <x:v>Full viewport, title only, no clipped text or media</x:v>
      </x:c>
      <x:c r="C6" s="41" t="str">
        <x:v>Yes</x:v>
      </x:c>
      <x:c r="D6" s="41" t="str">
        <x:v>Yes</x:v>
      </x:c>
      <x:c r="E6" s="41" t="str">
        <x:v>Evan William</x:v>
      </x:c>
      <x:c r="F6" s="41" t="str">
        <x:v>Done</x:v>
      </x:c>
      <x:c r="G6" s="41" t="str"/>
    </x:row>
    <x:row r="7">
      <x:c r="A7" s="41" t="str">
        <x:v>Typography</x:v>
      </x:c>
      <x:c r="B7" s="41" t="str">
        <x:v>Consistent font, readable scale, no overflow</x:v>
      </x:c>
      <x:c r="C7" s="41" t="str">
        <x:v>Yes</x:v>
      </x:c>
      <x:c r="D7" s="41" t="str">
        <x:v>Yes</x:v>
      </x:c>
      <x:c r="E7" s="41" t="str">
        <x:v>Evan William</x:v>
      </x:c>
      <x:c r="F7" s="41" t="str">
        <x:v>Done</x:v>
      </x:c>
      <x:c r="G7" s="41" t="str"/>
    </x:row>
    <x:row r="8">
      <x:c r="A8" s="41" t="str">
        <x:v>Images</x:v>
      </x:c>
      <x:c r="B8" s="41" t="str">
        <x:v>All requested images load; crop and alt text reviewed</x:v>
      </x:c>
      <x:c r="C8" s="41" t="str">
        <x:v>Yes</x:v>
      </x:c>
      <x:c r="D8" s="41" t="str">
        <x:v>Yes</x:v>
      </x:c>
      <x:c r="E8" s="41" t="str">
        <x:v>Evan William</x:v>
      </x:c>
      <x:c r="F8" s="41" t="str">
        <x:v>Done</x:v>
      </x:c>
      <x:c r="G8" s="41" t="str"/>
    </x:row>
    <x:row r="9">
      <x:c r="A9" s="41" t="str">
        <x:v>Forms</x:v>
      </x:c>
      <x:c r="B9" s="41" t="str">
        <x:v>Labels, focus, consent, error state, and button copy reviewed</x:v>
      </x:c>
      <x:c r="C9" s="41" t="str">
        <x:v>Yes</x:v>
      </x:c>
      <x:c r="D9" s="41" t="str">
        <x:v>Yes</x:v>
      </x:c>
      <x:c r="E9" s="41" t="str">
        <x:v>Evan William</x:v>
      </x:c>
      <x:c r="F9" s="41" t="str">
        <x:v>In Progress</x:v>
      </x:c>
      <x:c r="G9" s="41" t="str">
        <x:v>Endpoint pending</x:v>
      </x:c>
    </x:row>
    <x:row r="10">
      <x:c r="A10" s="41" t="str">
        <x:v>Footer</x:v>
      </x:c>
      <x:c r="B10" s="41" t="str">
        <x:v>Solutions, socials, legal links, and copyright are correct</x:v>
      </x:c>
      <x:c r="C10" s="41" t="str">
        <x:v>Yes</x:v>
      </x:c>
      <x:c r="D10" s="41" t="str">
        <x:v>Yes</x:v>
      </x:c>
      <x:c r="E10" s="41" t="str">
        <x:v>Evan William</x:v>
      </x:c>
      <x:c r="F10" s="41" t="str">
        <x:v>Done</x:v>
      </x:c>
      <x:c r="G10" s="41" t="str"/>
    </x:row>
    <x:row r="11">
      <x:c r="A11" s="41" t="str">
        <x:v>Accessibility</x:v>
      </x:c>
      <x:c r="B11" s="41" t="str">
        <x:v>Keyboard flow, skip link, reduced motion, contrast</x:v>
      </x:c>
      <x:c r="C11" s="41" t="str">
        <x:v>Yes</x:v>
      </x:c>
      <x:c r="D11" s="41" t="str">
        <x:v>Yes</x:v>
      </x:c>
      <x:c r="E11" s="41" t="str">
        <x:v>Evan William</x:v>
      </x:c>
      <x:c r="F11" s="41" t="str">
        <x:v>Done</x:v>
      </x:c>
      <x:c r="G11" s="41" t="str"/>
    </x:row>
    <x:row r="12">
      <x:c r="A12" s="42" t="str">
        <x:v>Production</x:v>
      </x:c>
      <x:c r="B12" s="42" t="str">
        <x:v>No console errors or failed assets after deploy</x:v>
      </x:c>
      <x:c r="C12" s="42" t="str">
        <x:v>Pending</x:v>
      </x:c>
      <x:c r="D12" s="42" t="str">
        <x:v>Pending</x:v>
      </x:c>
      <x:c r="E12" s="42" t="str">
        <x:v>Evan William</x:v>
      </x:c>
      <x:c r="F12" s="42" t="str">
        <x:v>Pending</x:v>
      </x:c>
      <x:c r="G12" s="42" t="str">
        <x:v>Run after production deploy</x:v>
      </x:c>
    </x:row>
  </x:sheetData>
  <x:mergeCells>
    <x:mergeCell ref="A1:G1"/>
    <x:mergeCell ref="A2:G2"/>
  </x:mergeCells>
  <x:pageMargins left="0.7" right="0.7" top="0.75" bottom="0.75" header="0.3" footer="0.3"/>
</x:worksheet>
</file>